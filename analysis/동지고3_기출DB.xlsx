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kf78\Downloads\greateng\GREATENG\analysis\"/>
    </mc:Choice>
  </mc:AlternateContent>
  <x:bookViews>
    <x:workbookView xWindow="0" yWindow="0" windowWidth="4294939935" windowHeight="16725" tabRatio="500"/>
  </x:bookViews>
  <x:sheets>
    <x:sheet name="기출DB_동지고" sheetId="1" r:id="rId4"/>
    <x:sheet name="유형별_집계" sheetId="2" r:id="rId5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<x:sst xmlns:r="http://schemas.openxmlformats.org/officeDocument/2006/relationships" xmlns:c="http://schemas.openxmlformats.org/drawingml/2006/chart" xmlns:x="http://schemas.openxmlformats.org/spreadsheetml/2006/main" count="384" uniqueCount="95">
  <x:si>
    <x:t>소설읽기·공감·narratives</x:t>
  </x:si>
  <x:si>
    <x:t>원격근무 추이 2019-2024</x:t>
  </x:si>
  <x:si>
    <x:t>환경인종주의·redlining</x:t>
  </x:si>
  <x:si>
    <x:t>연습·시냅스·leaky hose</x:t>
  </x:si>
  <x:si>
    <x:t>자전거·운전 학습·what/how</x:t>
  </x:si>
  <x:si>
    <x:t>rationale-coherence</x:t>
  </x:si>
  <x:si>
    <x:r>
      <x:t xml:space="preserve">NFL </x:t>
    </x:r>
    <x:r>
      <x:rPr>
        <x:rFont val="Noto Sans CJK SC"/>
        <x:sz val="10"/>
        <x:color rgb="ff000000"/>
      </x:rPr>
      <x:t>쿼터백 랭킹</x:t>
    </x:r>
    <x:r>
      <x:rPr>
        <x:rFont val="맑은 고딕"/>
        <x:sz val="10"/>
        <x:color rgb="ff000000"/>
      </x:rPr>
      <x:t>·</x:t>
    </x:r>
    <x:r>
      <x:rPr>
        <x:rFont val="Noto Sans CJK SC"/>
        <x:sz val="10"/>
        <x:color rgb="ff000000"/>
      </x:rPr>
      <x:t>수학과 일상문화</x:t>
    </x:r>
  </x:si>
  <x:si>
    <x:r>
      <x:t>which→where(</x:t>
    </x:r>
    <x:r>
      <x:rPr>
        <x:rFont val="Noto Sans CJK SC"/>
        <x:sz val="10"/>
        <x:color rgb="ff000000"/>
      </x:rPr>
      <x:t>관계부사</x:t>
    </x:r>
    <x:r>
      <x:rPr>
        <x:rFont val="맑은 고딕"/>
        <x:sz val="10"/>
        <x:color rgb="ff000000"/>
      </x:rPr>
      <x:t>)</x:t>
    </x:r>
  </x:si>
  <x:si>
    <x:t>코끼리·keystone species·savanna</x:t>
  </x:si>
  <x:si>
    <x:r>
      <x:t xml:space="preserve">connectivity·landscape </x:t>
    </x:r>
    <x:r>
      <x:rPr>
        <x:rFont val="Noto Sans CJK SC"/>
        <x:sz val="10"/>
        <x:color rgb="ff000000"/>
      </x:rPr>
      <x:t>보전생물학</x:t>
    </x:r>
  </x:si>
  <x:si>
    <x:t>requires-commitment-entails</x:t>
  </x:si>
  <x:si>
    <x:t>Meteor Shower Watch Party</x:t>
  </x:si>
  <x:si>
    <x:r>
      <x:t>which→for which(</x:t>
    </x:r>
    <x:r>
      <x:rPr>
        <x:rFont val="Noto Sans CJK SC"/>
        <x:sz val="10"/>
        <x:color rgb="ff000000"/>
      </x:rPr>
      <x:t>전치사</x:t>
    </x:r>
    <x:r>
      <x:rPr>
        <x:rFont val="맑은 고딕"/>
        <x:sz val="10"/>
        <x:color rgb="ff000000"/>
      </x:rPr>
      <x:t>+</x:t>
    </x:r>
    <x:r>
      <x:rPr>
        <x:rFont val="Noto Sans CJK SC"/>
        <x:sz val="10"/>
        <x:color rgb="ff000000"/>
      </x:rPr>
      <x:t>관계대명사</x:t>
    </x:r>
    <x:r>
      <x:rPr>
        <x:rFont val="맑은 고딕"/>
        <x:sz val="10"/>
        <x:color rgb="ff000000"/>
      </x:rPr>
      <x:t>)</x:t>
    </x:r>
  </x:si>
  <x:si>
    <x:t>identical→different/greater</x:t>
  </x:si>
  <x:si>
    <x:t>semester</x:t>
  </x:si>
  <x:si>
    <x:t>2026-07-06</x:t>
  </x:si>
  <x:si>
    <x:t>exam_date</x:t>
  </x:si>
  <x:si>
    <x:t>source_hint</x:t>
  </x:si>
  <x:si>
    <x:t>confidence</x:t>
  </x:si>
  <x:si>
    <x:t>type_changed</x:t>
  </x:si>
  <x:si>
    <x:t>subject_code</x:t>
  </x:si>
  <x:si>
    <x:t>passage_hint</x:t>
  </x:si>
  <x:si>
    <x:t>아동 미각선호·양수·분유</x:t>
  </x:si>
  <x:si>
    <x:t>source_status</x:t>
  </x:si>
  <x:si>
    <x:t>original_type</x:t>
  </x:si>
  <x:si>
    <x:t>predicted_flag</x:t>
  </x:si>
  <x:si>
    <x:r>
      <x:t>Whitman·</x:t>
    </x:r>
    <x:r>
      <x:rPr>
        <x:rFont val="Noto Sans CJK SC"/>
        <x:sz val="10"/>
        <x:color rgb="ff000000"/>
      </x:rPr>
      <x:t>명성</x:t>
    </x:r>
    <x:r>
      <x:rPr>
        <x:rFont val="맑은 고딕"/>
        <x:sz val="10"/>
        <x:color rgb="ff000000"/>
      </x:rPr>
      <x:t>·</x:t>
    </x:r>
    <x:r>
      <x:rPr>
        <x:rFont val="Noto Sans CJK SC"/>
        <x:sz val="10"/>
        <x:color rgb="ff000000"/>
      </x:rPr>
      <x:t>대중</x:t>
    </x:r>
  </x:si>
  <x:si>
    <x:t>인사 프로토콜·사회적 코드</x:t>
  </x:si>
  <x:si>
    <x:t>position_pct</x:t>
  </x:si>
  <x:si>
    <x:t>자기방어·성공실패 재해석</x:t>
  </x:si>
  <x:si>
    <x:t>도식적 지식·schemata</x:t>
  </x:si>
  <x:si>
    <x:t>어휘(문맥)</x:t>
  </x:si>
  <x:si>
    <x:t>순서배열</x:t>
  </x:si>
  <x:si>
    <x:t>빈칸(구)</x:t>
  </x:si>
  <x:si>
    <x:t>빈칸(절)</x:t>
  </x:si>
  <x:si>
    <x:t>문항유형</x:t>
  </x:si>
  <x:si>
    <x:t>배점합계</x:t>
  </x:si>
  <x:si>
    <x:t>무관문장</x:t>
  </x:si>
  <x:si>
    <x:t>자동차·교외화</x:t>
  </x:si>
  <x:si>
    <x:t>어휘(선택)</x:t>
  </x:si>
  <x:si>
    <x:t>지칭추론</x:t>
  </x:si>
  <x:si>
    <x:t>안내문불일치</x:t>
  </x:si>
  <x:si>
    <x:t>문장삽입</x:t>
  </x:si>
  <x:si>
    <x:t>도표/안내문</x:t>
  </x:si>
  <x:si>
    <x:t>exam</x:t>
  </x:si>
  <x:si>
    <x:t>grade</x:t>
  </x:si>
  <x:si>
    <x:t>points</x:t>
  </x:si>
  <x:si>
    <x:t>q_no</x:t>
  </x:si>
  <x:si>
    <x:t>q_type</x:t>
  </x:si>
  <x:si>
    <x:t>note</x:t>
  </x:si>
  <x:si>
    <x:t>함축의미</x:t>
  </x:si>
  <x:si>
    <x:t>school</x:t>
  </x:si>
  <x:si>
    <x:t>answer</x:t>
  </x:si>
  <x:si>
    <x:t>evolution/selection·restaurant analogy</x:t>
  </x:si>
  <x:si>
    <x:t>기말</x:t>
  </x:si>
  <x:si>
    <x:t>동지고</x:t>
  </x:si>
  <x:si>
    <x:t>3</x:t>
  </x:si>
  <x:si>
    <x:t>확정</x:t>
  </x:si>
  <x:si>
    <x:t>07</x:t>
  </x:si>
  <x:si>
    <x:t>⑤</x:t>
  </x:si>
  <x:si>
    <x:t>N</x:t>
  </x:si>
  <x:si>
    <x:t>1</x:t>
  </x:si>
  <x:si>
    <x:t>제목</x:t>
  </x:si>
  <x:si>
    <x:t>①</x:t>
  </x:si>
  <x:si>
    <x:t>요약문</x:t>
  </x:si>
  <x:si>
    <x:t>어법</x:t>
  </x:si>
  <x:si>
    <x:t>도표</x:t>
  </x:si>
  <x:si>
    <x:t>②</x:t>
  </x:si>
  <x:si>
    <x:t>③</x:t>
  </x:si>
  <x:si>
    <x:t>주제</x:t>
  </x:si>
  <x:si>
    <x:t>요지</x:t>
  </x:si>
  <x:si>
    <x:t>④</x:t>
  </x:si>
  <x:si>
    <x:t>어휘</x:t>
  </x:si>
  <x:si>
    <x:t>문항수</x:t>
  </x:si>
  <x:si>
    <x:t>합계</x:t>
  </x:si>
  <x:si>
    <x:t>빈칸</x:t>
  </x:si>
  <x:si>
    <x:t>Sparkle·Emily·Stephanie</x:t>
  </x:si>
  <x:si>
    <x:t>facilitate→halt/prevent</x:t>
  </x:si>
  <x:si>
    <x:t>범주·기능적 유사성·religiosity</x:t>
  </x:si>
  <x:si>
    <x:r>
      <x:t>Hawthorne effect·</x:t>
    </x:r>
    <x:r>
      <x:rPr>
        <x:rFont val="Noto Sans CJK SC"/>
        <x:sz val="10"/>
        <x:color rgb="ff000000"/>
      </x:rPr>
      <x:t>관찰자효과</x:t>
    </x:r>
  </x:si>
  <x:si>
    <x:r>
      <x:t xml:space="preserve">(a)=Emily </x:t>
    </x:r>
    <x:r>
      <x:rPr>
        <x:rFont val="Noto Sans CJK SC"/>
        <x:sz val="10"/>
        <x:color rgb="ff000000"/>
      </x:rPr>
      <x:t xml:space="preserve">외 </x:t>
    </x:r>
    <x:r>
      <x:rPr>
        <x:rFont val="맑은 고딕"/>
        <x:sz val="10"/>
        <x:color rgb="ff000000"/>
      </x:rPr>
      <x:t>Stephanie</x:t>
    </x:r>
  </x:si>
  <x:si>
    <x:r>
      <x:t>promoted→promoting(</x:t>
    </x:r>
    <x:r>
      <x:rPr>
        <x:rFont val="Noto Sans CJK SC"/>
        <x:sz val="10"/>
        <x:color rgb="ff000000"/>
      </x:rPr>
      <x:t>분사</x:t>
    </x:r>
    <x:r>
      <x:rPr>
        <x:rFont val="맑은 고딕"/>
        <x:sz val="10"/>
        <x:color rgb="ff000000"/>
      </x:rPr>
      <x:t>)</x:t>
    </x:r>
  </x:si>
  <x:si>
    <x:t>주제/제목/요지</x:t>
  </x:si>
  <x:si>
    <x:t>보존주의vs보전주의</x:t>
  </x:si>
  <x:si>
    <x:t>실용문(안내문)</x:t>
  </x:si>
  <x:si>
    <x:t>교육·질서·통제</x:t>
  </x:si>
  <x:si>
    <x:t>어휘(A/B/C)</x:t>
  </x:si>
  <x:si>
    <x:t>순서배열(장문)</x:t>
  </x:si>
  <x:si>
    <x:r>
      <x:t>SNS·</x:t>
    </x:r>
    <x:r>
      <x:rPr>
        <x:rFont val="Noto Sans CJK SC"/>
        <x:sz val="10"/>
        <x:color rgb="ff000000"/>
      </x:rPr>
      <x:t>건강증진</x:t>
    </x:r>
  </x:si>
  <x:si>
    <x:t>생태계 구조·창발현상</x:t>
  </x:si>
  <x:si>
    <x:r>
      <x:t>AI·</x:t>
    </x:r>
    <x:r>
      <x:rPr>
        <x:rFont val="Noto Sans CJK SC"/>
        <x:sz val="10"/>
        <x:color rgb="ff000000"/>
      </x:rPr>
      <x:t>인간 정체성</x:t>
    </x:r>
  </x:si>
  <x:si>
    <x:t>지칭추론(장문)</x:t>
  </x:si>
  <x:si>
    <x:t>(C)-(B)-(A)</x:t>
  </x:si>
  <x:si>
    <x:t>시각·운전 안전</x:t>
  </x:si>
  <x:si>
    <x:t>(C)-(B)-(D)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</x:si>
</x:sst>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1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0"/>
      <x:color rgb="ffffffff"/>
      <x:b val="1"/>
    </x:font>
    <x:font>
      <x:name val="Noto Sans CJK SC"/>
      <x:sz val="10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oto Sans CJK SC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oto Sans CJK SC"/>
          <x:sz val="10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7a1020"/>
        <x:bgColor rgb="ff800000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>
      <x:alignment horizontal="general" vertical="center"/>
    </x:xf>
  </x:cellStyleXfs>
  <x:cellXfs count="8">
    <x:xf numFmtId="164" fontId="0" fillId="0" borderId="0" xfId="0">
      <x:alignment horizontal="general" vertical="bottom"/>
    </x:xf>
    <x:xf numFmtId="164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Font="1" applyBorder="1" applyAlignment="1">
          <x:alignment horizontal="center" vertical="center"/>
        </x:xf>
      </mc:Fallback>
    </mc:AlternateContent>
    <x:xf numFmtId="164" fontId="7" fillId="0" borderId="1" xfId="0" applyFont="1" applyBorder="1" applyAlignment="1">
      <x:alignment horizontal="general" vertical="center"/>
    </x:xf>
    <x:xf numFmtId="164" fontId="8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" xfId="0" applyFont="1" applyBorder="1" applyAlignment="1">
          <x:alignment horizontal="center" vertical="bottom"/>
        </x:xf>
      </mc:Fallback>
    </mc:AlternateContent>
    <x:xf numFmtId="164" fontId="7" fillId="0" borderId="1" xfId="0" applyFont="1" applyBorder="1" applyAlignment="1">
      <x:alignment horizontal="general" vertical="bottom"/>
    </x:xf>
    <x:xf numFmtId="164" fontId="10" fillId="0" borderId="1" xfId="0" applyFont="1" applyBorder="1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27"/>
  <x:sheetViews>
    <x:sheetView tabSelected="1" topLeftCell="A1" zoomScaleNormal="75" zoomScaleSheetLayoutView="100" workbookViewId="0">
      <x:pane xSplit="0" ySplit="1" topLeftCell="A2" activePane="bottomLeft" state="frozen"/>
      <x:selection pane="bottomLeft" activeCell="A1" activeCellId="0" sqref="A1:S27"/>
    </x:sheetView>
  </x:sheetViews>
  <x:sheetFormatPr defaultColWidth="8.6796875" defaultRowHeight="14.19999999999999928946"/>
  <x:cols>
    <x:col min="1" max="1" width="9" style="1" customWidth="1"/>
    <x:col min="2" max="2" width="6" style="1" customWidth="1"/>
    <x:col min="3" max="3" width="8" style="1" customWidth="1"/>
    <x:col min="4" max="4" width="7" style="1" customWidth="1"/>
    <x:col min="5" max="5" width="10" style="1" customWidth="1"/>
    <x:col min="6" max="6" width="12" style="1" customWidth="1"/>
    <x:col min="7" max="7" width="6" style="1" customWidth="1"/>
    <x:col min="8" max="8" width="7" style="1" customWidth="1"/>
    <x:col min="9" max="9" width="13" style="1" customWidth="1"/>
    <x:col min="10" max="10" width="7" style="1" customWidth="1"/>
    <x:col min="11" max="11" width="10" style="1" customWidth="1"/>
    <x:col min="12" max="12" width="32" style="1" customWidth="1"/>
    <x:col min="13" max="13" width="13" style="1" customWidth="1"/>
    <x:col min="14" max="14" width="11" style="1" customWidth="1"/>
    <x:col min="15" max="15" width="12" style="1" customWidth="1"/>
    <x:col min="16" max="16" width="10" style="1" customWidth="1"/>
    <x:col min="17" max="17" width="11" style="1" customWidth="1"/>
    <x:col min="18" max="18" width="10" style="1" customWidth="1"/>
    <x:col min="19" max="19" width="30" style="1" customWidth="1"/>
  </x:cols>
  <x:sheetData>
    <x:row r="1" spans="1:19" ht="27.75" customHeight="1">
      <x:c r="A1" s="2" t="s">
        <x:v>51</x:v>
      </x:c>
      <x:c r="B1" s="2" t="s">
        <x:v>45</x:v>
      </x:c>
      <x:c r="C1" s="2" t="s">
        <x:v>14</x:v>
      </x:c>
      <x:c r="D1" s="2" t="s">
        <x:v>44</x:v>
      </x:c>
      <x:c r="E1" s="2" t="s">
        <x:v>20</x:v>
      </x:c>
      <x:c r="F1" s="2" t="s">
        <x:v>16</x:v>
      </x:c>
      <x:c r="G1" s="2" t="s">
        <x:v>47</x:v>
      </x:c>
      <x:c r="H1" s="2" t="s">
        <x:v>46</x:v>
      </x:c>
      <x:c r="I1" s="2" t="s">
        <x:v>48</x:v>
      </x:c>
      <x:c r="J1" s="2" t="s">
        <x:v>52</x:v>
      </x:c>
      <x:c r="K1" s="2" t="s">
        <x:v>17</x:v>
      </x:c>
      <x:c r="L1" s="2" t="s">
        <x:v>21</x:v>
      </x:c>
      <x:c r="M1" s="2" t="s">
        <x:v>24</x:v>
      </x:c>
      <x:c r="N1" s="2" t="s">
        <x:v>19</x:v>
      </x:c>
      <x:c r="O1" s="2" t="s">
        <x:v>25</x:v>
      </x:c>
      <x:c r="P1" s="2" t="s">
        <x:v>18</x:v>
      </x:c>
      <x:c r="Q1" s="2" t="s">
        <x:v>28</x:v>
      </x:c>
      <x:c r="R1" s="2" t="s">
        <x:v>23</x:v>
      </x:c>
      <x:c r="S1" s="2" t="s">
        <x:v>49</x:v>
      </x:c>
    </x:row>
    <x:row r="2" spans="1:19" ht="15" customHeight="1">
      <x:c r="A2" s="3" t="s">
        <x:v>55</x:v>
      </x:c>
      <x:c r="B2" s="4" t="s">
        <x:v>56</x:v>
      </x:c>
      <x:c r="C2" s="4" t="s">
        <x:v>61</x:v>
      </x:c>
      <x:c r="D2" s="3" t="s">
        <x:v>54</x:v>
      </x:c>
      <x:c r="E2" s="4" t="s">
        <x:v>58</x:v>
      </x:c>
      <x:c r="F2" s="4" t="s">
        <x:v>15</x:v>
      </x:c>
      <x:c r="G2" s="3">
        <x:v>1</x:v>
      </x:c>
      <x:c r="H2" s="3">
        <x:v>3.8999999999999999</x:v>
      </x:c>
      <x:c r="I2" s="3" t="s">
        <x:v>50</x:v>
      </x:c>
      <x:c r="J2" s="4" t="s">
        <x:v>59</x:v>
      </x:c>
      <x:c r="K2" s="3"/>
      <x:c r="L2" s="4" t="s">
        <x:v>53</x:v>
      </x:c>
      <x:c r="M2" s="3" t="s">
        <x:v>50</x:v>
      </x:c>
      <x:c r="N2" s="4" t="s">
        <x:v>60</x:v>
      </x:c>
      <x:c r="O2" s="4" t="s">
        <x:v>60</x:v>
      </x:c>
      <x:c r="P2" s="3"/>
      <x:c r="Q2" s="3"/>
      <x:c r="R2" s="3" t="s">
        <x:v>57</x:v>
      </x:c>
      <x:c r="S2" s="3"/>
    </x:row>
    <x:row r="3" spans="1:19" ht="15" customHeight="1">
      <x:c r="A3" s="3" t="s">
        <x:v>55</x:v>
      </x:c>
      <x:c r="B3" s="4" t="s">
        <x:v>56</x:v>
      </x:c>
      <x:c r="C3" s="4" t="s">
        <x:v>61</x:v>
      </x:c>
      <x:c r="D3" s="3" t="s">
        <x:v>54</x:v>
      </x:c>
      <x:c r="E3" s="4" t="s">
        <x:v>58</x:v>
      </x:c>
      <x:c r="F3" s="4" t="s">
        <x:v>15</x:v>
      </x:c>
      <x:c r="G3" s="3">
        <x:v>2</x:v>
      </x:c>
      <x:c r="H3" s="3">
        <x:v>3.5</x:v>
      </x:c>
      <x:c r="I3" s="3" t="s">
        <x:v>70</x:v>
      </x:c>
      <x:c r="J3" s="4" t="s">
        <x:v>63</x:v>
      </x:c>
      <x:c r="K3" s="3"/>
      <x:c r="L3" s="4" t="s">
        <x:v>6</x:v>
      </x:c>
      <x:c r="M3" s="3" t="s">
        <x:v>70</x:v>
      </x:c>
      <x:c r="N3" s="4" t="s">
        <x:v>60</x:v>
      </x:c>
      <x:c r="O3" s="4" t="s">
        <x:v>60</x:v>
      </x:c>
      <x:c r="P3" s="3"/>
      <x:c r="Q3" s="3"/>
      <x:c r="R3" s="3" t="s">
        <x:v>57</x:v>
      </x:c>
      <x:c r="S3" s="3"/>
    </x:row>
    <x:row r="4" spans="1:19" ht="15" customHeight="1">
      <x:c r="A4" s="3" t="s">
        <x:v>55</x:v>
      </x:c>
      <x:c r="B4" s="4" t="s">
        <x:v>56</x:v>
      </x:c>
      <x:c r="C4" s="4" t="s">
        <x:v>61</x:v>
      </x:c>
      <x:c r="D4" s="3" t="s">
        <x:v>54</x:v>
      </x:c>
      <x:c r="E4" s="4" t="s">
        <x:v>58</x:v>
      </x:c>
      <x:c r="F4" s="4" t="s">
        <x:v>15</x:v>
      </x:c>
      <x:c r="G4" s="3">
        <x:v>3</x:v>
      </x:c>
      <x:c r="H4" s="3">
        <x:v>3.7000000000000002</x:v>
      </x:c>
      <x:c r="I4" s="3" t="s">
        <x:v>69</x:v>
      </x:c>
      <x:c r="J4" s="4" t="s">
        <x:v>71</x:v>
      </x:c>
      <x:c r="K4" s="3"/>
      <x:c r="L4" s="4" t="s">
        <x:v>79</x:v>
      </x:c>
      <x:c r="M4" s="3" t="s">
        <x:v>69</x:v>
      </x:c>
      <x:c r="N4" s="4" t="s">
        <x:v>60</x:v>
      </x:c>
      <x:c r="O4" s="4" t="s">
        <x:v>60</x:v>
      </x:c>
      <x:c r="P4" s="3"/>
      <x:c r="Q4" s="3"/>
      <x:c r="R4" s="3" t="s">
        <x:v>57</x:v>
      </x:c>
      <x:c r="S4" s="3"/>
    </x:row>
    <x:row r="5" spans="1:19" ht="15" customHeight="1">
      <x:c r="A5" s="3" t="s">
        <x:v>55</x:v>
      </x:c>
      <x:c r="B5" s="4" t="s">
        <x:v>56</x:v>
      </x:c>
      <x:c r="C5" s="4" t="s">
        <x:v>61</x:v>
      </x:c>
      <x:c r="D5" s="3" t="s">
        <x:v>54</x:v>
      </x:c>
      <x:c r="E5" s="4" t="s">
        <x:v>58</x:v>
      </x:c>
      <x:c r="F5" s="4" t="s">
        <x:v>15</x:v>
      </x:c>
      <x:c r="G5" s="3">
        <x:v>4</x:v>
      </x:c>
      <x:c r="H5" s="3">
        <x:v>3.7000000000000002</x:v>
      </x:c>
      <x:c r="I5" s="3" t="s">
        <x:v>62</x:v>
      </x:c>
      <x:c r="J5" s="4" t="s">
        <x:v>68</x:v>
      </x:c>
      <x:c r="K5" s="3"/>
      <x:c r="L5" s="3" t="s">
        <x:v>29</x:v>
      </x:c>
      <x:c r="M5" s="3" t="s">
        <x:v>62</x:v>
      </x:c>
      <x:c r="N5" s="4" t="s">
        <x:v>60</x:v>
      </x:c>
      <x:c r="O5" s="4" t="s">
        <x:v>60</x:v>
      </x:c>
      <x:c r="P5" s="3"/>
      <x:c r="Q5" s="3"/>
      <x:c r="R5" s="3" t="s">
        <x:v>57</x:v>
      </x:c>
      <x:c r="S5" s="3"/>
    </x:row>
    <x:row r="6" spans="1:19" ht="15" customHeight="1">
      <x:c r="A6" s="3" t="s">
        <x:v>55</x:v>
      </x:c>
      <x:c r="B6" s="4" t="s">
        <x:v>56</x:v>
      </x:c>
      <x:c r="C6" s="4" t="s">
        <x:v>61</x:v>
      </x:c>
      <x:c r="D6" s="3" t="s">
        <x:v>54</x:v>
      </x:c>
      <x:c r="E6" s="4" t="s">
        <x:v>58</x:v>
      </x:c>
      <x:c r="F6" s="4" t="s">
        <x:v>15</x:v>
      </x:c>
      <x:c r="G6" s="3">
        <x:v>5</x:v>
      </x:c>
      <x:c r="H6" s="3">
        <x:v>3.5</x:v>
      </x:c>
      <x:c r="I6" s="3" t="s">
        <x:v>41</x:v>
      </x:c>
      <x:c r="J6" s="4" t="s">
        <x:v>59</x:v>
      </x:c>
      <x:c r="K6" s="3"/>
      <x:c r="L6" s="4" t="s">
        <x:v>11</x:v>
      </x:c>
      <x:c r="M6" s="3" t="s">
        <x:v>84</x:v>
      </x:c>
      <x:c r="N6" s="4" t="s">
        <x:v>60</x:v>
      </x:c>
      <x:c r="O6" s="4" t="s">
        <x:v>60</x:v>
      </x:c>
      <x:c r="P6" s="3"/>
      <x:c r="Q6" s="3"/>
      <x:c r="R6" s="3" t="s">
        <x:v>57</x:v>
      </x:c>
      <x:c r="S6" s="3"/>
    </x:row>
    <x:row r="7" spans="1:19" ht="15" customHeight="1">
      <x:c r="A7" s="3" t="s">
        <x:v>55</x:v>
      </x:c>
      <x:c r="B7" s="4" t="s">
        <x:v>56</x:v>
      </x:c>
      <x:c r="C7" s="4" t="s">
        <x:v>61</x:v>
      </x:c>
      <x:c r="D7" s="3" t="s">
        <x:v>54</x:v>
      </x:c>
      <x:c r="E7" s="4" t="s">
        <x:v>58</x:v>
      </x:c>
      <x:c r="F7" s="4" t="s">
        <x:v>15</x:v>
      </x:c>
      <x:c r="G7" s="3">
        <x:v>6</x:v>
      </x:c>
      <x:c r="H7" s="3">
        <x:v>4.2000000000000002</x:v>
      </x:c>
      <x:c r="I7" s="3" t="s">
        <x:v>65</x:v>
      </x:c>
      <x:c r="J7" s="4" t="s">
        <x:v>68</x:v>
      </x:c>
      <x:c r="K7" s="3"/>
      <x:c r="L7" s="3" t="s">
        <x:v>22</x:v>
      </x:c>
      <x:c r="M7" s="3" t="s">
        <x:v>65</x:v>
      </x:c>
      <x:c r="N7" s="4" t="s">
        <x:v>60</x:v>
      </x:c>
      <x:c r="O7" s="4" t="s">
        <x:v>60</x:v>
      </x:c>
      <x:c r="P7" s="3"/>
      <x:c r="Q7" s="3"/>
      <x:c r="R7" s="3" t="s">
        <x:v>57</x:v>
      </x:c>
      <x:c r="S7" s="4" t="s">
        <x:v>7</x:v>
      </x:c>
    </x:row>
    <x:row r="8" spans="1:19" ht="15" customHeight="1">
      <x:c r="A8" s="3" t="s">
        <x:v>55</x:v>
      </x:c>
      <x:c r="B8" s="4" t="s">
        <x:v>56</x:v>
      </x:c>
      <x:c r="C8" s="4" t="s">
        <x:v>61</x:v>
      </x:c>
      <x:c r="D8" s="3" t="s">
        <x:v>54</x:v>
      </x:c>
      <x:c r="E8" s="4" t="s">
        <x:v>58</x:v>
      </x:c>
      <x:c r="F8" s="4" t="s">
        <x:v>15</x:v>
      </x:c>
      <x:c r="G8" s="3">
        <x:v>7</x:v>
      </x:c>
      <x:c r="H8" s="3">
        <x:v>4.2000000000000002</x:v>
      </x:c>
      <x:c r="I8" s="3" t="s">
        <x:v>31</x:v>
      </x:c>
      <x:c r="J8" s="4" t="s">
        <x:v>71</x:v>
      </x:c>
      <x:c r="K8" s="3"/>
      <x:c r="L8" s="4" t="s">
        <x:v>9</x:v>
      </x:c>
      <x:c r="M8" s="3" t="s">
        <x:v>72</x:v>
      </x:c>
      <x:c r="N8" s="4" t="s">
        <x:v>60</x:v>
      </x:c>
      <x:c r="O8" s="4" t="s">
        <x:v>60</x:v>
      </x:c>
      <x:c r="P8" s="3"/>
      <x:c r="Q8" s="3"/>
      <x:c r="R8" s="3" t="s">
        <x:v>57</x:v>
      </x:c>
      <x:c r="S8" s="4" t="s">
        <x:v>77</x:v>
      </x:c>
    </x:row>
    <x:row r="9" spans="1:19" ht="15" customHeight="1">
      <x:c r="A9" s="3" t="s">
        <x:v>55</x:v>
      </x:c>
      <x:c r="B9" s="4" t="s">
        <x:v>56</x:v>
      </x:c>
      <x:c r="C9" s="4" t="s">
        <x:v>61</x:v>
      </x:c>
      <x:c r="D9" s="3" t="s">
        <x:v>54</x:v>
      </x:c>
      <x:c r="E9" s="4" t="s">
        <x:v>58</x:v>
      </x:c>
      <x:c r="F9" s="4" t="s">
        <x:v>15</x:v>
      </x:c>
      <x:c r="G9" s="3">
        <x:v>8</x:v>
      </x:c>
      <x:c r="H9" s="3">
        <x:v>3.7000000000000002</x:v>
      </x:c>
      <x:c r="I9" s="3" t="s">
        <x:v>37</x:v>
      </x:c>
      <x:c r="J9" s="4" t="s">
        <x:v>71</x:v>
      </x:c>
      <x:c r="K9" s="3"/>
      <x:c r="L9" s="3" t="s">
        <x:v>8</x:v>
      </x:c>
      <x:c r="M9" s="3" t="s">
        <x:v>37</x:v>
      </x:c>
      <x:c r="N9" s="4" t="s">
        <x:v>60</x:v>
      </x:c>
      <x:c r="O9" s="4" t="s">
        <x:v>60</x:v>
      </x:c>
      <x:c r="P9" s="3"/>
      <x:c r="Q9" s="3"/>
      <x:c r="R9" s="3" t="s">
        <x:v>57</x:v>
      </x:c>
      <x:c r="S9" s="3"/>
    </x:row>
    <x:row r="10" spans="1:19" ht="15" customHeight="1">
      <x:c r="A10" s="3" t="s">
        <x:v>55</x:v>
      </x:c>
      <x:c r="B10" s="4" t="s">
        <x:v>56</x:v>
      </x:c>
      <x:c r="C10" s="4" t="s">
        <x:v>61</x:v>
      </x:c>
      <x:c r="D10" s="3" t="s">
        <x:v>54</x:v>
      </x:c>
      <x:c r="E10" s="4" t="s">
        <x:v>58</x:v>
      </x:c>
      <x:c r="F10" s="4" t="s">
        <x:v>15</x:v>
      </x:c>
      <x:c r="G10" s="3">
        <x:v>9</x:v>
      </x:c>
      <x:c r="H10" s="3">
        <x:v>3.5</x:v>
      </x:c>
      <x:c r="I10" s="3" t="s">
        <x:v>42</x:v>
      </x:c>
      <x:c r="J10" s="4" t="s">
        <x:v>68</x:v>
      </x:c>
      <x:c r="K10" s="3"/>
      <x:c r="L10" s="3" t="s">
        <x:v>0</x:v>
      </x:c>
      <x:c r="M10" s="3" t="s">
        <x:v>42</x:v>
      </x:c>
      <x:c r="N10" s="4" t="s">
        <x:v>60</x:v>
      </x:c>
      <x:c r="O10" s="4" t="s">
        <x:v>60</x:v>
      </x:c>
      <x:c r="P10" s="3"/>
      <x:c r="Q10" s="3"/>
      <x:c r="R10" s="3" t="s">
        <x:v>57</x:v>
      </x:c>
      <x:c r="S10" s="3"/>
    </x:row>
    <x:row r="11" spans="1:19" ht="15" customHeight="1">
      <x:c r="A11" s="3" t="s">
        <x:v>55</x:v>
      </x:c>
      <x:c r="B11" s="4" t="s">
        <x:v>56</x:v>
      </x:c>
      <x:c r="C11" s="4" t="s">
        <x:v>61</x:v>
      </x:c>
      <x:c r="D11" s="3" t="s">
        <x:v>54</x:v>
      </x:c>
      <x:c r="E11" s="4" t="s">
        <x:v>58</x:v>
      </x:c>
      <x:c r="F11" s="4" t="s">
        <x:v>15</x:v>
      </x:c>
      <x:c r="G11" s="3">
        <x:v>10</x:v>
      </x:c>
      <x:c r="H11" s="3">
        <x:v>3.8999999999999999</x:v>
      </x:c>
      <x:c r="I11" s="3" t="s">
        <x:v>64</x:v>
      </x:c>
      <x:c r="J11" s="4" t="s">
        <x:v>63</x:v>
      </x:c>
      <x:c r="K11" s="3"/>
      <x:c r="L11" s="3" t="s">
        <x:v>78</x:v>
      </x:c>
      <x:c r="M11" s="3" t="s">
        <x:v>64</x:v>
      </x:c>
      <x:c r="N11" s="4" t="s">
        <x:v>60</x:v>
      </x:c>
      <x:c r="O11" s="4" t="s">
        <x:v>60</x:v>
      </x:c>
      <x:c r="P11" s="3"/>
      <x:c r="Q11" s="3"/>
      <x:c r="R11" s="3" t="s">
        <x:v>57</x:v>
      </x:c>
      <x:c r="S11" s="4" t="s">
        <x:v>5</x:v>
      </x:c>
    </x:row>
    <x:row r="12" spans="1:19" ht="15" customHeight="1">
      <x:c r="A12" s="3" t="s">
        <x:v>55</x:v>
      </x:c>
      <x:c r="B12" s="4" t="s">
        <x:v>56</x:v>
      </x:c>
      <x:c r="C12" s="4" t="s">
        <x:v>61</x:v>
      </x:c>
      <x:c r="D12" s="3" t="s">
        <x:v>54</x:v>
      </x:c>
      <x:c r="E12" s="4" t="s">
        <x:v>58</x:v>
      </x:c>
      <x:c r="F12" s="4" t="s">
        <x:v>15</x:v>
      </x:c>
      <x:c r="G12" s="3">
        <x:v>11</x:v>
      </x:c>
      <x:c r="H12" s="3">
        <x:v>3.7000000000000002</x:v>
      </x:c>
      <x:c r="I12" s="3" t="s">
        <x:v>69</x:v>
      </x:c>
      <x:c r="J12" s="4" t="s">
        <x:v>71</x:v>
      </x:c>
      <x:c r="K12" s="3"/>
      <x:c r="L12" s="3" t="s">
        <x:v>2</x:v>
      </x:c>
      <x:c r="M12" s="3" t="s">
        <x:v>69</x:v>
      </x:c>
      <x:c r="N12" s="4" t="s">
        <x:v>60</x:v>
      </x:c>
      <x:c r="O12" s="4" t="s">
        <x:v>60</x:v>
      </x:c>
      <x:c r="P12" s="3"/>
      <x:c r="Q12" s="3"/>
      <x:c r="R12" s="3" t="s">
        <x:v>57</x:v>
      </x:c>
      <x:c r="S12" s="3"/>
    </x:row>
    <x:row r="13" spans="1:19" ht="15" customHeight="1">
      <x:c r="A13" s="3" t="s">
        <x:v>55</x:v>
      </x:c>
      <x:c r="B13" s="4" t="s">
        <x:v>56</x:v>
      </x:c>
      <x:c r="C13" s="4" t="s">
        <x:v>61</x:v>
      </x:c>
      <x:c r="D13" s="3" t="s">
        <x:v>54</x:v>
      </x:c>
      <x:c r="E13" s="4" t="s">
        <x:v>58</x:v>
      </x:c>
      <x:c r="F13" s="4" t="s">
        <x:v>15</x:v>
      </x:c>
      <x:c r="G13" s="3">
        <x:v>12</x:v>
      </x:c>
      <x:c r="H13" s="3">
        <x:v>3.7000000000000002</x:v>
      </x:c>
      <x:c r="I13" s="3" t="s">
        <x:v>62</x:v>
      </x:c>
      <x:c r="J13" s="4" t="s">
        <x:v>63</x:v>
      </x:c>
      <x:c r="K13" s="3"/>
      <x:c r="L13" s="4" t="s">
        <x:v>88</x:v>
      </x:c>
      <x:c r="M13" s="3" t="s">
        <x:v>62</x:v>
      </x:c>
      <x:c r="N13" s="4" t="s">
        <x:v>60</x:v>
      </x:c>
      <x:c r="O13" s="4" t="s">
        <x:v>60</x:v>
      </x:c>
      <x:c r="P13" s="3"/>
      <x:c r="Q13" s="3"/>
      <x:c r="R13" s="3" t="s">
        <x:v>57</x:v>
      </x:c>
      <x:c r="S13" s="3"/>
    </x:row>
    <x:row r="14" spans="1:19" ht="15" customHeight="1">
      <x:c r="A14" s="3" t="s">
        <x:v>55</x:v>
      </x:c>
      <x:c r="B14" s="4" t="s">
        <x:v>56</x:v>
      </x:c>
      <x:c r="C14" s="4" t="s">
        <x:v>61</x:v>
      </x:c>
      <x:c r="D14" s="3" t="s">
        <x:v>54</x:v>
      </x:c>
      <x:c r="E14" s="4" t="s">
        <x:v>58</x:v>
      </x:c>
      <x:c r="F14" s="4" t="s">
        <x:v>15</x:v>
      </x:c>
      <x:c r="G14" s="3">
        <x:v>13</x:v>
      </x:c>
      <x:c r="H14" s="3">
        <x:v>3.5</x:v>
      </x:c>
      <x:c r="I14" s="3" t="s">
        <x:v>66</x:v>
      </x:c>
      <x:c r="J14" s="4" t="s">
        <x:v>59</x:v>
      </x:c>
      <x:c r="K14" s="3"/>
      <x:c r="L14" s="3" t="s">
        <x:v>1</x:v>
      </x:c>
      <x:c r="M14" s="3" t="s">
        <x:v>66</x:v>
      </x:c>
      <x:c r="N14" s="4" t="s">
        <x:v>60</x:v>
      </x:c>
      <x:c r="O14" s="4" t="s">
        <x:v>60</x:v>
      </x:c>
      <x:c r="P14" s="3"/>
      <x:c r="Q14" s="3"/>
      <x:c r="R14" s="3" t="s">
        <x:v>57</x:v>
      </x:c>
      <x:c r="S14" s="3"/>
    </x:row>
    <x:row r="15" spans="1:19" ht="15" customHeight="1">
      <x:c r="A15" s="3" t="s">
        <x:v>55</x:v>
      </x:c>
      <x:c r="B15" s="4" t="s">
        <x:v>56</x:v>
      </x:c>
      <x:c r="C15" s="4" t="s">
        <x:v>61</x:v>
      </x:c>
      <x:c r="D15" s="3" t="s">
        <x:v>54</x:v>
      </x:c>
      <x:c r="E15" s="4" t="s">
        <x:v>58</x:v>
      </x:c>
      <x:c r="F15" s="4" t="s">
        <x:v>15</x:v>
      </x:c>
      <x:c r="G15" s="3">
        <x:v>14</x:v>
      </x:c>
      <x:c r="H15" s="3">
        <x:v>3.8999999999999999</x:v>
      </x:c>
      <x:c r="I15" s="3" t="s">
        <x:v>65</x:v>
      </x:c>
      <x:c r="J15" s="4" t="s">
        <x:v>67</x:v>
      </x:c>
      <x:c r="K15" s="3"/>
      <x:c r="L15" s="3" t="s">
        <x:v>38</x:v>
      </x:c>
      <x:c r="M15" s="3" t="s">
        <x:v>65</x:v>
      </x:c>
      <x:c r="N15" s="4" t="s">
        <x:v>60</x:v>
      </x:c>
      <x:c r="O15" s="4" t="s">
        <x:v>60</x:v>
      </x:c>
      <x:c r="P15" s="3"/>
      <x:c r="Q15" s="3"/>
      <x:c r="R15" s="3" t="s">
        <x:v>57</x:v>
      </x:c>
      <x:c r="S15" s="4" t="s">
        <x:v>81</x:v>
      </x:c>
    </x:row>
    <x:row r="16" spans="1:19" ht="15" customHeight="1">
      <x:c r="A16" s="3" t="s">
        <x:v>55</x:v>
      </x:c>
      <x:c r="B16" s="4" t="s">
        <x:v>56</x:v>
      </x:c>
      <x:c r="C16" s="4" t="s">
        <x:v>61</x:v>
      </x:c>
      <x:c r="D16" s="3" t="s">
        <x:v>54</x:v>
      </x:c>
      <x:c r="E16" s="4" t="s">
        <x:v>58</x:v>
      </x:c>
      <x:c r="F16" s="4" t="s">
        <x:v>15</x:v>
      </x:c>
      <x:c r="G16" s="3">
        <x:v>15</x:v>
      </x:c>
      <x:c r="H16" s="3">
        <x:v>3.8999999999999999</x:v>
      </x:c>
      <x:c r="I16" s="3" t="s">
        <x:v>31</x:v>
      </x:c>
      <x:c r="J16" s="4" t="s">
        <x:v>59</x:v>
      </x:c>
      <x:c r="K16" s="3"/>
      <x:c r="L16" s="3" t="s">
        <x:v>89</x:v>
      </x:c>
      <x:c r="M16" s="3" t="s">
        <x:v>72</x:v>
      </x:c>
      <x:c r="N16" s="4" t="s">
        <x:v>60</x:v>
      </x:c>
      <x:c r="O16" s="4" t="s">
        <x:v>60</x:v>
      </x:c>
      <x:c r="P16" s="3"/>
      <x:c r="Q16" s="3"/>
      <x:c r="R16" s="3" t="s">
        <x:v>57</x:v>
      </x:c>
      <x:c r="S16" s="4" t="s">
        <x:v>13</x:v>
      </x:c>
    </x:row>
    <x:row r="17" spans="1:19" ht="15" customHeight="1">
      <x:c r="A17" s="3" t="s">
        <x:v>55</x:v>
      </x:c>
      <x:c r="B17" s="4" t="s">
        <x:v>56</x:v>
      </x:c>
      <x:c r="C17" s="4" t="s">
        <x:v>61</x:v>
      </x:c>
      <x:c r="D17" s="3" t="s">
        <x:v>54</x:v>
      </x:c>
      <x:c r="E17" s="4" t="s">
        <x:v>58</x:v>
      </x:c>
      <x:c r="F17" s="4" t="s">
        <x:v>15</x:v>
      </x:c>
      <x:c r="G17" s="3">
        <x:v>16</x:v>
      </x:c>
      <x:c r="H17" s="3">
        <x:v>3.7000000000000002</x:v>
      </x:c>
      <x:c r="I17" s="3" t="s">
        <x:v>37</x:v>
      </x:c>
      <x:c r="J17" s="4" t="s">
        <x:v>68</x:v>
      </x:c>
      <x:c r="K17" s="3"/>
      <x:c r="L17" s="3" t="s">
        <x:v>4</x:v>
      </x:c>
      <x:c r="M17" s="3" t="s">
        <x:v>37</x:v>
      </x:c>
      <x:c r="N17" s="4" t="s">
        <x:v>60</x:v>
      </x:c>
      <x:c r="O17" s="4" t="s">
        <x:v>60</x:v>
      </x:c>
      <x:c r="P17" s="3"/>
      <x:c r="Q17" s="3"/>
      <x:c r="R17" s="3" t="s">
        <x:v>57</x:v>
      </x:c>
      <x:c r="S17" s="3"/>
    </x:row>
    <x:row r="18" spans="1:19" ht="15" customHeight="1">
      <x:c r="A18" s="3" t="s">
        <x:v>55</x:v>
      </x:c>
      <x:c r="B18" s="4" t="s">
        <x:v>56</x:v>
      </x:c>
      <x:c r="C18" s="4" t="s">
        <x:v>61</x:v>
      </x:c>
      <x:c r="D18" s="3" t="s">
        <x:v>54</x:v>
      </x:c>
      <x:c r="E18" s="4" t="s">
        <x:v>58</x:v>
      </x:c>
      <x:c r="F18" s="4" t="s">
        <x:v>15</x:v>
      </x:c>
      <x:c r="G18" s="3">
        <x:v>17</x:v>
      </x:c>
      <x:c r="H18" s="3">
        <x:v>4.2000000000000002</x:v>
      </x:c>
      <x:c r="I18" s="3" t="s">
        <x:v>39</x:v>
      </x:c>
      <x:c r="J18" s="4" t="s">
        <x:v>67</x:v>
      </x:c>
      <x:c r="K18" s="3"/>
      <x:c r="L18" s="3" t="s">
        <x:v>85</x:v>
      </x:c>
      <x:c r="M18" s="3" t="s">
        <x:v>86</x:v>
      </x:c>
      <x:c r="N18" s="4" t="s">
        <x:v>60</x:v>
      </x:c>
      <x:c r="O18" s="4" t="s">
        <x:v>60</x:v>
      </x:c>
      <x:c r="P18" s="3"/>
      <x:c r="Q18" s="3"/>
      <x:c r="R18" s="3" t="s">
        <x:v>57</x:v>
      </x:c>
      <x:c r="S18" s="4" t="s">
        <x:v>10</x:v>
      </x:c>
    </x:row>
    <x:row r="19" spans="1:19" ht="15" customHeight="1">
      <x:c r="A19" s="3" t="s">
        <x:v>55</x:v>
      </x:c>
      <x:c r="B19" s="4" t="s">
        <x:v>56</x:v>
      </x:c>
      <x:c r="C19" s="4" t="s">
        <x:v>61</x:v>
      </x:c>
      <x:c r="D19" s="3" t="s">
        <x:v>54</x:v>
      </x:c>
      <x:c r="E19" s="4" t="s">
        <x:v>58</x:v>
      </x:c>
      <x:c r="F19" s="4" t="s">
        <x:v>15</x:v>
      </x:c>
      <x:c r="G19" s="3">
        <x:v>18</x:v>
      </x:c>
      <x:c r="H19" s="3">
        <x:v>3.8999999999999999</x:v>
      </x:c>
      <x:c r="I19" s="3" t="s">
        <x:v>42</x:v>
      </x:c>
      <x:c r="J19" s="4" t="s">
        <x:v>71</x:v>
      </x:c>
      <x:c r="K19" s="3"/>
      <x:c r="L19" s="3" t="s">
        <x:v>27</x:v>
      </x:c>
      <x:c r="M19" s="3" t="s">
        <x:v>42</x:v>
      </x:c>
      <x:c r="N19" s="4" t="s">
        <x:v>60</x:v>
      </x:c>
      <x:c r="O19" s="4" t="s">
        <x:v>60</x:v>
      </x:c>
      <x:c r="P19" s="3"/>
      <x:c r="Q19" s="3"/>
      <x:c r="R19" s="3" t="s">
        <x:v>57</x:v>
      </x:c>
      <x:c r="S19" s="3"/>
    </x:row>
    <x:row r="20" spans="1:19" ht="15" customHeight="1">
      <x:c r="A20" s="3" t="s">
        <x:v>55</x:v>
      </x:c>
      <x:c r="B20" s="4" t="s">
        <x:v>56</x:v>
      </x:c>
      <x:c r="C20" s="4" t="s">
        <x:v>61</x:v>
      </x:c>
      <x:c r="D20" s="3" t="s">
        <x:v>54</x:v>
      </x:c>
      <x:c r="E20" s="4" t="s">
        <x:v>58</x:v>
      </x:c>
      <x:c r="F20" s="4" t="s">
        <x:v>15</x:v>
      </x:c>
      <x:c r="G20" s="3">
        <x:v>19</x:v>
      </x:c>
      <x:c r="H20" s="3">
        <x:v>3.5</x:v>
      </x:c>
      <x:c r="I20" s="3" t="s">
        <x:v>87</x:v>
      </x:c>
      <x:c r="J20" s="4" t="s">
        <x:v>67</x:v>
      </x:c>
      <x:c r="K20" s="3"/>
      <x:c r="L20" s="4" t="s">
        <x:v>76</x:v>
      </x:c>
      <x:c r="M20" s="3" t="s">
        <x:v>32</x:v>
      </x:c>
      <x:c r="N20" s="4" t="s">
        <x:v>60</x:v>
      </x:c>
      <x:c r="O20" s="4" t="s">
        <x:v>60</x:v>
      </x:c>
      <x:c r="P20" s="3"/>
      <x:c r="Q20" s="3"/>
      <x:c r="R20" s="3" t="s">
        <x:v>57</x:v>
      </x:c>
      <x:c r="S20" s="4" t="s">
        <x:v>94</x:v>
      </x:c>
    </x:row>
    <x:row r="21" spans="1:19" ht="15" customHeight="1">
      <x:c r="A21" s="3" t="s">
        <x:v>55</x:v>
      </x:c>
      <x:c r="B21" s="4" t="s">
        <x:v>56</x:v>
      </x:c>
      <x:c r="C21" s="4" t="s">
        <x:v>61</x:v>
      </x:c>
      <x:c r="D21" s="3" t="s">
        <x:v>54</x:v>
      </x:c>
      <x:c r="E21" s="4" t="s">
        <x:v>58</x:v>
      </x:c>
      <x:c r="F21" s="4" t="s">
        <x:v>15</x:v>
      </x:c>
      <x:c r="G21" s="3">
        <x:v>20</x:v>
      </x:c>
      <x:c r="H21" s="3">
        <x:v>3.5</x:v>
      </x:c>
      <x:c r="I21" s="3" t="s">
        <x:v>91</x:v>
      </x:c>
      <x:c r="J21" s="4" t="s">
        <x:v>63</x:v>
      </x:c>
      <x:c r="K21" s="3"/>
      <x:c r="L21" s="4" t="s">
        <x:v>76</x:v>
      </x:c>
      <x:c r="M21" s="3" t="s">
        <x:v>40</x:v>
      </x:c>
      <x:c r="N21" s="4" t="s">
        <x:v>60</x:v>
      </x:c>
      <x:c r="O21" s="4" t="s">
        <x:v>60</x:v>
      </x:c>
      <x:c r="P21" s="3"/>
      <x:c r="Q21" s="3"/>
      <x:c r="R21" s="3" t="s">
        <x:v>57</x:v>
      </x:c>
      <x:c r="S21" s="4" t="s">
        <x:v>80</x:v>
      </x:c>
    </x:row>
    <x:row r="22" spans="1:19" ht="15" customHeight="1">
      <x:c r="A22" s="3" t="s">
        <x:v>55</x:v>
      </x:c>
      <x:c r="B22" s="4" t="s">
        <x:v>56</x:v>
      </x:c>
      <x:c r="C22" s="4" t="s">
        <x:v>61</x:v>
      </x:c>
      <x:c r="D22" s="3" t="s">
        <x:v>54</x:v>
      </x:c>
      <x:c r="E22" s="4" t="s">
        <x:v>58</x:v>
      </x:c>
      <x:c r="F22" s="4" t="s">
        <x:v>15</x:v>
      </x:c>
      <x:c r="G22" s="3">
        <x:v>21</x:v>
      </x:c>
      <x:c r="H22" s="3">
        <x:v>4.4000000000000004</x:v>
      </x:c>
      <x:c r="I22" s="3" t="s">
        <x:v>75</x:v>
      </x:c>
      <x:c r="J22" s="4" t="s">
        <x:v>59</x:v>
      </x:c>
      <x:c r="K22" s="3"/>
      <x:c r="L22" s="4" t="s">
        <x:v>26</x:v>
      </x:c>
      <x:c r="M22" s="3" t="s">
        <x:v>33</x:v>
      </x:c>
      <x:c r="N22" s="4" t="s">
        <x:v>60</x:v>
      </x:c>
      <x:c r="O22" s="4" t="s">
        <x:v>60</x:v>
      </x:c>
      <x:c r="P22" s="3"/>
      <x:c r="Q22" s="3"/>
      <x:c r="R22" s="3" t="s">
        <x:v>57</x:v>
      </x:c>
      <x:c r="S22" s="3"/>
    </x:row>
    <x:row r="23" spans="1:19" ht="15" customHeight="1">
      <x:c r="A23" s="3" t="s">
        <x:v>55</x:v>
      </x:c>
      <x:c r="B23" s="4" t="s">
        <x:v>56</x:v>
      </x:c>
      <x:c r="C23" s="4" t="s">
        <x:v>61</x:v>
      </x:c>
      <x:c r="D23" s="3" t="s">
        <x:v>54</x:v>
      </x:c>
      <x:c r="E23" s="4" t="s">
        <x:v>58</x:v>
      </x:c>
      <x:c r="F23" s="4" t="s">
        <x:v>15</x:v>
      </x:c>
      <x:c r="G23" s="3">
        <x:v>22</x:v>
      </x:c>
      <x:c r="H23" s="3">
        <x:v>4.4000000000000004</x:v>
      </x:c>
      <x:c r="I23" s="3" t="s">
        <x:v>75</x:v>
      </x:c>
      <x:c r="J23" s="4" t="s">
        <x:v>63</x:v>
      </x:c>
      <x:c r="K23" s="3"/>
      <x:c r="L23" s="4" t="s">
        <x:v>90</x:v>
      </x:c>
      <x:c r="M23" s="3" t="s">
        <x:v>34</x:v>
      </x:c>
      <x:c r="N23" s="4" t="s">
        <x:v>60</x:v>
      </x:c>
      <x:c r="O23" s="4" t="s">
        <x:v>60</x:v>
      </x:c>
      <x:c r="P23" s="3"/>
      <x:c r="Q23" s="3"/>
      <x:c r="R23" s="3" t="s">
        <x:v>57</x:v>
      </x:c>
      <x:c r="S23" s="3"/>
    </x:row>
    <x:row r="24" spans="1:19" ht="15" customHeight="1">
      <x:c r="A24" s="3" t="s">
        <x:v>55</x:v>
      </x:c>
      <x:c r="B24" s="4" t="s">
        <x:v>56</x:v>
      </x:c>
      <x:c r="C24" s="4" t="s">
        <x:v>61</x:v>
      </x:c>
      <x:c r="D24" s="3" t="s">
        <x:v>54</x:v>
      </x:c>
      <x:c r="E24" s="4" t="s">
        <x:v>58</x:v>
      </x:c>
      <x:c r="F24" s="4" t="s">
        <x:v>15</x:v>
      </x:c>
      <x:c r="G24" s="3">
        <x:v>23</x:v>
      </x:c>
      <x:c r="H24" s="3">
        <x:v>3.8999999999999999</x:v>
      </x:c>
      <x:c r="I24" s="3" t="s">
        <x:v>32</x:v>
      </x:c>
      <x:c r="J24" s="4" t="s">
        <x:v>59</x:v>
      </x:c>
      <x:c r="K24" s="3"/>
      <x:c r="L24" s="3" t="s">
        <x:v>3</x:v>
      </x:c>
      <x:c r="M24" s="3" t="s">
        <x:v>32</x:v>
      </x:c>
      <x:c r="N24" s="4" t="s">
        <x:v>60</x:v>
      </x:c>
      <x:c r="O24" s="4" t="s">
        <x:v>60</x:v>
      </x:c>
      <x:c r="P24" s="3"/>
      <x:c r="Q24" s="3"/>
      <x:c r="R24" s="3" t="s">
        <x:v>57</x:v>
      </x:c>
      <x:c r="S24" s="4" t="s">
        <x:v>92</x:v>
      </x:c>
    </x:row>
    <x:row r="25" spans="1:19" ht="15" customHeight="1">
      <x:c r="A25" s="3" t="s">
        <x:v>55</x:v>
      </x:c>
      <x:c r="B25" s="4" t="s">
        <x:v>56</x:v>
      </x:c>
      <x:c r="C25" s="4" t="s">
        <x:v>61</x:v>
      </x:c>
      <x:c r="D25" s="3" t="s">
        <x:v>54</x:v>
      </x:c>
      <x:c r="E25" s="4" t="s">
        <x:v>58</x:v>
      </x:c>
      <x:c r="F25" s="4" t="s">
        <x:v>15</x:v>
      </x:c>
      <x:c r="G25" s="3">
        <x:v>24</x:v>
      </x:c>
      <x:c r="H25" s="3">
        <x:v>4.4000000000000004</x:v>
      </x:c>
      <x:c r="I25" s="3" t="s">
        <x:v>32</x:v>
      </x:c>
      <x:c r="J25" s="4" t="s">
        <x:v>71</x:v>
      </x:c>
      <x:c r="K25" s="3"/>
      <x:c r="L25" s="3" t="s">
        <x:v>30</x:v>
      </x:c>
      <x:c r="M25" s="3" t="s">
        <x:v>32</x:v>
      </x:c>
      <x:c r="N25" s="4" t="s">
        <x:v>60</x:v>
      </x:c>
      <x:c r="O25" s="4" t="s">
        <x:v>60</x:v>
      </x:c>
      <x:c r="P25" s="3"/>
      <x:c r="Q25" s="3"/>
      <x:c r="R25" s="3" t="s">
        <x:v>57</x:v>
      </x:c>
      <x:c r="S25" s="4" t="s">
        <x:v>92</x:v>
      </x:c>
    </x:row>
    <x:row r="26" spans="1:19" ht="15" customHeight="1">
      <x:c r="A26" s="3" t="s">
        <x:v>55</x:v>
      </x:c>
      <x:c r="B26" s="4" t="s">
        <x:v>56</x:v>
      </x:c>
      <x:c r="C26" s="4" t="s">
        <x:v>61</x:v>
      </x:c>
      <x:c r="D26" s="3" t="s">
        <x:v>54</x:v>
      </x:c>
      <x:c r="E26" s="4" t="s">
        <x:v>58</x:v>
      </x:c>
      <x:c r="F26" s="4" t="s">
        <x:v>15</x:v>
      </x:c>
      <x:c r="G26" s="3">
        <x:v>25</x:v>
      </x:c>
      <x:c r="H26" s="3">
        <x:v>3.7000000000000002</x:v>
      </x:c>
      <x:c r="I26" s="3" t="s">
        <x:v>65</x:v>
      </x:c>
      <x:c r="J26" s="4" t="s">
        <x:v>59</x:v>
      </x:c>
      <x:c r="K26" s="3"/>
      <x:c r="L26" s="3" t="s">
        <x:v>93</x:v>
      </x:c>
      <x:c r="M26" s="3" t="s">
        <x:v>65</x:v>
      </x:c>
      <x:c r="N26" s="4" t="s">
        <x:v>60</x:v>
      </x:c>
      <x:c r="O26" s="4" t="s">
        <x:v>60</x:v>
      </x:c>
      <x:c r="P26" s="3"/>
      <x:c r="Q26" s="3"/>
      <x:c r="R26" s="3" t="s">
        <x:v>57</x:v>
      </x:c>
      <x:c r="S26" s="4" t="s">
        <x:v>12</x:v>
      </x:c>
    </x:row>
    <x:row r="27" spans="1:19" ht="15" customHeight="1">
      <x:c r="A27" s="3" t="s">
        <x:v>55</x:v>
      </x:c>
      <x:c r="B27" s="4" t="s">
        <x:v>56</x:v>
      </x:c>
      <x:c r="C27" s="4" t="s">
        <x:v>61</x:v>
      </x:c>
      <x:c r="D27" s="3" t="s">
        <x:v>54</x:v>
      </x:c>
      <x:c r="E27" s="4" t="s">
        <x:v>58</x:v>
      </x:c>
      <x:c r="F27" s="4" t="s">
        <x:v>15</x:v>
      </x:c>
      <x:c r="G27" s="3">
        <x:v>26</x:v>
      </x:c>
      <x:c r="H27" s="3">
        <x:v>3.8999999999999999</x:v>
      </x:c>
      <x:c r="I27" s="3" t="s">
        <x:v>42</x:v>
      </x:c>
      <x:c r="J27" s="4" t="s">
        <x:v>71</x:v>
      </x:c>
      <x:c r="K27" s="3"/>
      <x:c r="L27" s="3" t="s">
        <x:v>83</x:v>
      </x:c>
      <x:c r="M27" s="3" t="s">
        <x:v>42</x:v>
      </x:c>
      <x:c r="N27" s="4" t="s">
        <x:v>60</x:v>
      </x:c>
      <x:c r="O27" s="4" t="s">
        <x:v>60</x:v>
      </x:c>
      <x:c r="P27" s="3"/>
      <x:c r="Q27" s="3"/>
      <x:c r="R27" s="3" t="s">
        <x:v>57</x:v>
      </x:c>
      <x:c r="S27" s="3"/>
    </x:row>
  </x:sheetData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15"/>
  <x:sheetViews>
    <x:sheetView topLeftCell="A1" zoomScaleNormal="75" zoomScaleSheetLayoutView="100" workbookViewId="0">
      <x:selection activeCell="A1" activeCellId="0" sqref="A1:A1"/>
    </x:sheetView>
  </x:sheetViews>
  <x:sheetFormatPr defaultColWidth="8.6796875" defaultRowHeight="14.19999999999999928946"/>
  <x:cols>
    <x:col min="1" max="1" width="18" style="1" customWidth="1"/>
    <x:col min="2" max="2" width="10" style="1" customWidth="1"/>
    <x:col min="3" max="3" width="12" style="1" customWidth="1"/>
  </x:cols>
  <x:sheetData>
    <x:row r="1" spans="1:3" ht="15" customHeight="1">
      <x:c r="A1" s="5" t="s">
        <x:v>35</x:v>
      </x:c>
      <x:c r="B1" s="5" t="s">
        <x:v>73</x:v>
      </x:c>
      <x:c r="C1" s="5" t="s">
        <x:v>36</x:v>
      </x:c>
    </x:row>
    <x:row r="2" spans="1:3" ht="15" customHeight="1">
      <x:c r="A2" s="6" t="s">
        <x:v>65</x:v>
      </x:c>
      <x:c r="B2" s="6">
        <x:f>COUNTIF(기출DB_동지고!I:I,"어법")</x:f>
        <x:v>3</x:v>
      </x:c>
      <x:c r="C2" s="6">
        <x:f>SUMIF(기출DB_동지고!I:I,"어법",기출DB_동지고!H:H)</x:f>
        <x:v>11.800000000000001</x:v>
      </x:c>
    </x:row>
    <x:row r="3" spans="1:3" ht="15" customHeight="1">
      <x:c r="A3" s="6" t="s">
        <x:v>31</x:v>
      </x:c>
      <x:c r="B3" s="6">
        <x:f>COUNTIF(기출DB_동지고!I:I,"어휘(문맥)")</x:f>
        <x:v>2</x:v>
      </x:c>
      <x:c r="C3" s="6">
        <x:f>SUMIF(기출DB_동지고!I:I,"어휘(문맥)",기출DB_동지고!H:H)</x:f>
        <x:v>8.0999999999999996</x:v>
      </x:c>
    </x:row>
    <x:row r="4" spans="1:3" ht="15" customHeight="1">
      <x:c r="A4" s="6" t="s">
        <x:v>39</x:v>
      </x:c>
      <x:c r="B4" s="6">
        <x:f>COUNTIF(기출DB_동지고!I:I,"어휘(선택)")</x:f>
        <x:v>1</x:v>
      </x:c>
      <x:c r="C4" s="6">
        <x:f>SUMIF(기출DB_동지고!I:I,"어휘(선택)",기출DB_동지고!H:H)</x:f>
        <x:v>4.2000000000000002</x:v>
      </x:c>
    </x:row>
    <x:row r="5" spans="1:3" ht="15" customHeight="1">
      <x:c r="A5" s="6" t="s">
        <x:v>75</x:v>
      </x:c>
      <x:c r="B5" s="6">
        <x:f>COUNTIF(기출DB_동지고!I:I,"빈칸")</x:f>
        <x:v>2</x:v>
      </x:c>
      <x:c r="C5" s="6">
        <x:f>SUMIF(기출DB_동지고!I:I,"빈칸",기출DB_동지고!H:H)</x:f>
        <x:v>8.8000000000000007</x:v>
      </x:c>
    </x:row>
    <x:row r="6" spans="1:3" ht="15" customHeight="1">
      <x:c r="A6" s="6" t="s">
        <x:v>42</x:v>
      </x:c>
      <x:c r="B6" s="6">
        <x:f>COUNTIF(기출DB_동지고!I:I,"문장삽입")</x:f>
        <x:v>3</x:v>
      </x:c>
      <x:c r="C6" s="6">
        <x:f>SUMIF(기출DB_동지고!I:I,"문장삽입",기출DB_동지고!H:H)</x:f>
        <x:v>11.300000000000001</x:v>
      </x:c>
    </x:row>
    <x:row r="7" spans="1:3" ht="15" customHeight="1">
      <x:c r="A7" s="6" t="s">
        <x:v>32</x:v>
      </x:c>
      <x:c r="B7" s="6">
        <x:f>COUNTIF(기출DB_동지고!I:I,"순서배열")+COUNTIF(기출DB_동지고!I:I,"순서배열(장문)")</x:f>
        <x:v>3</x:v>
      </x:c>
      <x:c r="C7" s="6">
        <x:f>SUMIF(기출DB_동지고!I:I,"순서배열",기출DB_동지고!H:H)+SUMIF(기출DB_동지고!I:I,"순서배열(장문)",기출DB_동지고!H:H)</x:f>
        <x:v>11.800000000000001</x:v>
      </x:c>
    </x:row>
    <x:row r="8" spans="1:3" ht="15" customHeight="1">
      <x:c r="A8" s="6" t="s">
        <x:v>37</x:v>
      </x:c>
      <x:c r="B8" s="6">
        <x:f>COUNTIF(기출DB_동지고!I:I,"무관문장")</x:f>
        <x:v>2</x:v>
      </x:c>
      <x:c r="C8" s="6">
        <x:f>SUMIF(기출DB_동지고!I:I,"무관문장",기출DB_동지고!H:H)</x:f>
        <x:v>7.4000000000000004</x:v>
      </x:c>
    </x:row>
    <x:row r="9" spans="1:3" ht="15" customHeight="1">
      <x:c r="A9" s="6" t="s">
        <x:v>82</x:v>
      </x:c>
      <x:c r="B9" s="6">
        <x:f>COUNTIF(기출DB_동지고!I:I,"주제")+COUNTIF(기출DB_동지고!I:I,"제목")+COUNTIF(기출DB_동지고!I:I,"요지")</x:f>
        <x:v>5</x:v>
      </x:c>
      <x:c r="C9" s="6">
        <x:f>SUMIF(기출DB_동지고!I:I,"주제",기출DB_동지고!H:H)+SUMIF(기출DB_동지고!I:I,"제목",기출DB_동지고!H:H)+SUMIF(기출DB_동지고!I:I,"요지",기출DB_동지고!H:H)</x:f>
        <x:v>18.300000000000001</x:v>
      </x:c>
    </x:row>
    <x:row r="10" spans="1:3" ht="15" customHeight="1">
      <x:c r="A10" s="6" t="s">
        <x:v>64</x:v>
      </x:c>
      <x:c r="B10" s="6">
        <x:f>COUNTIF(기출DB_동지고!I:I,"요약문")</x:f>
        <x:v>1</x:v>
      </x:c>
      <x:c r="C10" s="6">
        <x:f>SUMIF(기출DB_동지고!I:I,"요약문",기출DB_동지고!H:H)</x:f>
        <x:v>3.8999999999999999</x:v>
      </x:c>
    </x:row>
    <x:row r="11" spans="1:3" ht="15" customHeight="1">
      <x:c r="A11" s="6" t="s">
        <x:v>43</x:v>
      </x:c>
      <x:c r="B11" s="6">
        <x:f>COUNTIF(기출DB_동지고!I:I,"도표")+COUNTIF(기출DB_동지고!I:I,"안내문불일치")</x:f>
        <x:v>2</x:v>
      </x:c>
      <x:c r="C11" s="6">
        <x:f>SUMIF(기출DB_동지고!I:I,"도표",기출DB_동지고!H:H)+SUMIF(기출DB_동지고!I:I,"안내문불일치",기출DB_동지고!H:H)</x:f>
        <x:v>7</x:v>
      </x:c>
    </x:row>
    <x:row r="12" spans="1:3" ht="15" customHeight="1">
      <x:c r="A12" s="6" t="s">
        <x:v>50</x:v>
      </x:c>
      <x:c r="B12" s="6">
        <x:f>COUNTIF(기출DB_동지고!I:I,"함축의미")</x:f>
        <x:v>1</x:v>
      </x:c>
      <x:c r="C12" s="6">
        <x:f>SUMIF(기출DB_동지고!I:I,"함축의미",기출DB_동지고!H:H)</x:f>
        <x:v>3.8999999999999999</x:v>
      </x:c>
    </x:row>
    <x:row r="13" spans="1:3" ht="15" customHeight="1">
      <x:c r="A13" s="6" t="s">
        <x:v>91</x:v>
      </x:c>
      <x:c r="B13" s="6">
        <x:f>COUNTIF(기출DB_동지고!I:I,"지칭추론(장문)")</x:f>
        <x:v>1</x:v>
      </x:c>
      <x:c r="C13" s="6">
        <x:f>SUMIF(기출DB_동지고!I:I,"지칭추론(장문)",기출DB_동지고!H:H)</x:f>
        <x:v>3.5</x:v>
      </x:c>
    </x:row>
    <x:row r="14" spans="1:3" ht="15" customHeight="1">
      <x:c r="A14" s="7" t="s">
        <x:v>74</x:v>
      </x:c>
      <x:c r="B14" s="7">
        <x:f>SUM(B2:B13)</x:f>
        <x:v>26</x:v>
      </x:c>
      <x:c r="C14" s="7">
        <x:f>SUM(C2:C13)</x:f>
        <x:v>100.00000000000001</x:v>
      </x:c>
    </x:row>
    <x:row r="15" spans="1:3" ht="15" customHeight="1">
      <x:c r="A15" s="7"/>
      <x:c r="B15" s="6"/>
      <x:c r="C15" s="6"/>
    </x:row>
  </x:sheetData>
  <x:pageMargins left="0.75" right="0.75" top="1" bottom="1" header="0.51180553436279296875" footer="0.51180553436279296875"/>
  <x:pageSetup paperSize="9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기출DB_동지고</vt:lpstr>
      <vt:lpstr>유형별_집계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pkf78</cp:lastModifiedBy>
  <cp:revision>2</cp:revision>
  <dcterms:created xsi:type="dcterms:W3CDTF">2026-07-07T23:59:35.000</dcterms:created>
  <dcterms:modified xsi:type="dcterms:W3CDTF">2026-07-08T00:14:59.729</dcterms:modified>
  <cp:version>1300.0100.01</cp:version>
</cp:coreProperties>
</file>